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5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Velocity" sheetId="2" state="visible" r:id="rId2"/>
    <sheet name="Burndown" sheetId="3" state="visible" r:id="rId3"/>
    <sheet name="Burnup" sheetId="4" state="visible" r:id="rId4"/>
    <sheet name="Cumulative Flow" sheetId="5" state="visible" r:id="rId5"/>
    <sheet name="Throughput" sheetId="6" state="visible" r:id="rId6"/>
    <sheet name="Lead and Cycle Time" sheetId="7" state="visible" r:id="rId7"/>
    <sheet name="Control Chart" sheetId="8" state="visible" r:id="rId8"/>
    <sheet name="Impediments" sheetId="9" state="visible" r:id="rId9"/>
    <sheet name="Formula and Metric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06D77"/>
      </patternFill>
    </fill>
    <fill>
      <patternFill patternType="solid">
        <fgColor rgb="00E8F3F4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Completed points by Sprint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'Velocity'!B9</f>
            </strRef>
          </tx>
          <spPr>
            <a:ln>
              <a:prstDash val="solid"/>
            </a:ln>
          </spPr>
          <cat>
            <numRef>
              <f>'Velocity'!$A$10:$A$15</f>
            </numRef>
          </cat>
          <val>
            <numRef>
              <f>'Velocity'!$B$10:$B$15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Completed 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Burndown with visible scope effect</a:t>
            </a:r>
          </a:p>
        </rich>
      </tx>
    </title>
    <plotArea>
      <lineChart>
        <grouping val="standard"/>
        <ser>
          <idx val="0"/>
          <order val="0"/>
          <tx>
            <strRef>
              <f>'Burndown'!D2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'Burndown'!$A$3:$A$10</f>
            </numRef>
          </cat>
          <val>
            <numRef>
              <f>'Burndown'!$D$3:$D$10</f>
            </numRef>
          </val>
        </ser>
        <ser>
          <idx val="1"/>
          <order val="1"/>
          <tx>
            <strRef>
              <f>'Burndown'!E2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'Burndown'!$A$3:$A$10</f>
            </numRef>
          </cat>
          <val>
            <numRef>
              <f>'Burndown'!$E$3:$E$10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Work remaining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Burnup exposes scope change</a:t>
            </a:r>
          </a:p>
        </rich>
      </tx>
    </title>
    <plotArea>
      <lineChart>
        <grouping val="standard"/>
        <ser>
          <idx val="0"/>
          <order val="0"/>
          <tx>
            <strRef>
              <f>'Burnup'!B2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'Burnup'!$A$3:$A$10</f>
            </numRef>
          </cat>
          <val>
            <numRef>
              <f>'Burnup'!$B$3:$B$10</f>
            </numRef>
          </val>
        </ser>
        <ser>
          <idx val="1"/>
          <order val="1"/>
          <tx>
            <strRef>
              <f>'Burnup'!C2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'Burnup'!$A$3:$A$10</f>
            </numRef>
          </cat>
          <val>
            <numRef>
              <f>'Burnup'!$C$3:$C$10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Work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flow — Review bottleneck</a:t>
            </a:r>
          </a:p>
        </rich>
      </tx>
    </title>
    <plotArea>
      <areaChart>
        <grouping val="stacked"/>
        <ser>
          <idx val="0"/>
          <order val="0"/>
          <tx>
            <strRef>
              <f>'Cumulative Flow'!B2</f>
            </strRef>
          </tx>
          <spPr>
            <a:ln>
              <a:prstDash val="solid"/>
            </a:ln>
          </spPr>
          <cat>
            <numRef>
              <f>'Cumulative Flow'!$A$3:$A$10</f>
            </numRef>
          </cat>
          <val>
            <numRef>
              <f>'Cumulative Flow'!$B$3:$B$10</f>
            </numRef>
          </val>
        </ser>
        <ser>
          <idx val="1"/>
          <order val="1"/>
          <tx>
            <strRef>
              <f>'Cumulative Flow'!C2</f>
            </strRef>
          </tx>
          <spPr>
            <a:ln>
              <a:prstDash val="solid"/>
            </a:ln>
          </spPr>
          <cat>
            <numRef>
              <f>'Cumulative Flow'!$A$3:$A$10</f>
            </numRef>
          </cat>
          <val>
            <numRef>
              <f>'Cumulative Flow'!$C$3:$C$10</f>
            </numRef>
          </val>
        </ser>
        <ser>
          <idx val="2"/>
          <order val="2"/>
          <tx>
            <strRef>
              <f>'Cumulative Flow'!D2</f>
            </strRef>
          </tx>
          <spPr>
            <a:ln>
              <a:prstDash val="solid"/>
            </a:ln>
          </spPr>
          <cat>
            <numRef>
              <f>'Cumulative Flow'!$A$3:$A$10</f>
            </numRef>
          </cat>
          <val>
            <numRef>
              <f>'Cumulative Flow'!$D$3:$D$10</f>
            </numRef>
          </val>
        </ser>
        <ser>
          <idx val="3"/>
          <order val="3"/>
          <tx>
            <strRef>
              <f>'Cumulative Flow'!E2</f>
            </strRef>
          </tx>
          <spPr>
            <a:ln>
              <a:prstDash val="solid"/>
            </a:ln>
          </spPr>
          <cat>
            <numRef>
              <f>'Cumulative Flow'!$A$3:$A$10</f>
            </numRef>
          </cat>
          <val>
            <numRef>
              <f>'Cumulative Flow'!$E$3:$E$10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Items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Control chart — supplied limits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Chart'!B2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Chart'!$A$3:$A$10</f>
            </numRef>
          </cat>
          <val>
            <numRef>
              <f>'Control Chart'!$B$3:$B$10</f>
            </numRef>
          </val>
        </ser>
        <ser>
          <idx val="1"/>
          <order val="1"/>
          <tx>
            <strRef>
              <f>'Control Chart'!C2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Chart'!$A$3:$A$10</f>
            </numRef>
          </cat>
          <val>
            <numRef>
              <f>'Control Chart'!$C$3:$C$10</f>
            </numRef>
          </val>
        </ser>
        <ser>
          <idx val="2"/>
          <order val="2"/>
          <tx>
            <strRef>
              <f>'Control Chart'!D2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Chart'!$A$3:$A$10</f>
            </numRef>
          </cat>
          <val>
            <numRef>
              <f>'Control Chart'!$D$3:$D$10</f>
            </numRef>
          </val>
        </ser>
        <ser>
          <idx val="3"/>
          <order val="3"/>
          <tx>
            <strRef>
              <f>'Control Chart'!E2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Chart'!$A$3:$A$10</f>
            </numRef>
          </cat>
          <val>
            <numRef>
              <f>'Control Chart'!$E$3:$E$10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Observation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Cycle time (days)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ServiceBridge Modernization — Adaptive Metrics</t>
        </is>
      </c>
    </row>
    <row r="2">
      <c r="A2" s="2" t="inlineStr">
        <is>
          <t>Topic</t>
        </is>
      </c>
      <c r="B2" s="2" t="inlineStr">
        <is>
          <t>Guidance</t>
        </is>
      </c>
    </row>
    <row r="3">
      <c r="A3" s="3" t="inlineStr">
        <is>
          <t>Purpose</t>
        </is>
      </c>
      <c r="B3" s="4" t="inlineStr">
        <is>
          <t>Editable, auditable ServiceBridge examples generated from definitions/adaptive-metrics.yaml.</t>
        </is>
      </c>
    </row>
    <row r="4">
      <c r="A4" s="3" t="inlineStr">
        <is>
          <t>Inputs</t>
        </is>
      </c>
      <c r="B4" s="4" t="inlineStr">
        <is>
          <t>Blue-filled cells are editable inputs; formulas remain visible and no macros are used.</t>
        </is>
      </c>
    </row>
    <row r="5">
      <c r="A5" s="3" t="inlineStr">
        <is>
          <t>Velocity</t>
        </is>
      </c>
      <c r="B5" s="4" t="inlineStr">
        <is>
          <t>Only Done items count. The 80%-complete item contributes zero. Story points are not hours or productivity.</t>
        </is>
      </c>
    </row>
    <row r="6">
      <c r="A6" s="3" t="inlineStr">
        <is>
          <t>Control chart</t>
        </is>
      </c>
      <c r="B6" s="4" t="inlineStr">
        <is>
          <t>Limits are supplied illustrative inputs. No control-limit formula is published.</t>
        </is>
      </c>
    </row>
    <row r="7">
      <c r="A7" s="3" t="inlineStr">
        <is>
          <t>Sources</t>
        </is>
      </c>
      <c r="B7" s="4" t="inlineStr">
        <is>
          <t>July 2026 PMI Lessons 5 and 7; Scrum Guide 2020; Kanban Guide May 2025.</t>
        </is>
      </c>
    </row>
  </sheetData>
  <mergeCells count="1">
    <mergeCell ref="A1:B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6" customWidth="1" min="3" max="3"/>
    <col width="28" customWidth="1" min="4" max="4"/>
  </cols>
  <sheetData>
    <row r="1">
      <c r="A1" s="1" t="inlineStr">
        <is>
          <t>ServiceBridge Modernization — Adaptive Metrics</t>
        </is>
      </c>
    </row>
    <row r="2">
      <c r="A2" s="2" t="inlineStr">
        <is>
          <t>Item / Sprint</t>
        </is>
      </c>
      <c r="B2" s="2" t="inlineStr">
        <is>
          <t>Estimate / points</t>
        </is>
      </c>
      <c r="C2" s="2" t="inlineStr">
        <is>
          <t>Status</t>
        </is>
      </c>
      <c r="D2" s="2" t="inlineStr">
        <is>
          <t>Counts toward velocity</t>
        </is>
      </c>
    </row>
    <row r="3">
      <c r="A3" s="3" t="inlineStr">
        <is>
          <t>SB-101</t>
        </is>
      </c>
      <c r="B3" s="5" t="n">
        <v>8</v>
      </c>
      <c r="C3" s="5" t="inlineStr">
        <is>
          <t>Done</t>
        </is>
      </c>
      <c r="D3" s="3">
        <f>IF(C3="Done",B3,0)</f>
        <v/>
      </c>
    </row>
    <row r="4">
      <c r="A4" s="3" t="inlineStr">
        <is>
          <t>SB-102</t>
        </is>
      </c>
      <c r="B4" s="5" t="n">
        <v>5</v>
      </c>
      <c r="C4" s="5" t="inlineStr">
        <is>
          <t>Done</t>
        </is>
      </c>
      <c r="D4" s="3">
        <f>IF(C4="Done",B4,0)</f>
        <v/>
      </c>
    </row>
    <row r="5">
      <c r="A5" s="3" t="inlineStr">
        <is>
          <t>SB-103</t>
        </is>
      </c>
      <c r="B5" s="5" t="n">
        <v>13</v>
      </c>
      <c r="C5" s="5" t="inlineStr">
        <is>
          <t>80 percent complete</t>
        </is>
      </c>
      <c r="D5" s="3">
        <f>IF(C5="Done",B5,0)</f>
        <v/>
      </c>
    </row>
    <row r="6">
      <c r="A6" s="3" t="inlineStr">
        <is>
          <t>SB-104</t>
        </is>
      </c>
      <c r="B6" s="5" t="n">
        <v>3</v>
      </c>
      <c r="C6" s="5" t="inlineStr">
        <is>
          <t>Done</t>
        </is>
      </c>
      <c r="D6" s="3">
        <f>IF(C6="Done",B6,0)</f>
        <v/>
      </c>
    </row>
    <row r="7">
      <c r="A7" s="3" t="inlineStr">
        <is>
          <t>Iteration velocity</t>
        </is>
      </c>
      <c r="B7" s="3" t="inlineStr"/>
      <c r="C7" s="3" t="inlineStr"/>
      <c r="D7" s="3">
        <f>SUM(D3:D6)</f>
        <v/>
      </c>
    </row>
    <row r="8">
      <c r="A8" s="3" t="inlineStr"/>
      <c r="B8" s="3" t="inlineStr"/>
      <c r="C8" s="3" t="inlineStr"/>
      <c r="D8" s="3" t="inlineStr"/>
    </row>
    <row r="9">
      <c r="A9" s="3" t="inlineStr">
        <is>
          <t>Sprint</t>
        </is>
      </c>
      <c r="B9" s="3" t="inlineStr">
        <is>
          <t>Completed points</t>
        </is>
      </c>
      <c r="C9" s="3" t="inlineStr"/>
      <c r="D9" s="3" t="inlineStr"/>
    </row>
    <row r="10">
      <c r="A10" s="3" t="n">
        <v>1</v>
      </c>
      <c r="B10" s="5" t="n">
        <v>21</v>
      </c>
      <c r="C10" s="3" t="inlineStr"/>
      <c r="D10" s="3" t="inlineStr"/>
    </row>
    <row r="11">
      <c r="A11" s="3" t="n">
        <v>2</v>
      </c>
      <c r="B11" s="5" t="n">
        <v>25</v>
      </c>
      <c r="C11" s="3" t="inlineStr"/>
      <c r="D11" s="3" t="inlineStr"/>
    </row>
    <row r="12">
      <c r="A12" s="3" t="n">
        <v>3</v>
      </c>
      <c r="B12" s="5" t="n">
        <v>23</v>
      </c>
      <c r="C12" s="3" t="inlineStr"/>
      <c r="D12" s="3" t="inlineStr"/>
    </row>
    <row r="13">
      <c r="A13" s="3" t="n">
        <v>4</v>
      </c>
      <c r="B13" s="5" t="n">
        <v>27</v>
      </c>
      <c r="C13" s="3" t="inlineStr"/>
      <c r="D13" s="3" t="inlineStr"/>
    </row>
    <row r="14">
      <c r="A14" s="3" t="n">
        <v>5</v>
      </c>
      <c r="B14" s="5" t="n">
        <v>20</v>
      </c>
      <c r="C14" s="3" t="inlineStr"/>
      <c r="D14" s="3" t="inlineStr"/>
    </row>
    <row r="15">
      <c r="A15" s="3" t="n">
        <v>6</v>
      </c>
      <c r="B15" s="5" t="n">
        <v>28</v>
      </c>
      <c r="C15" s="3" t="inlineStr"/>
      <c r="D15" s="3" t="inlineStr"/>
    </row>
    <row r="16">
      <c r="A16" s="3" t="inlineStr">
        <is>
          <t>Average first four</t>
        </is>
      </c>
      <c r="B16" s="3">
        <f>AVERAGE(B10:B13)</f>
        <v/>
      </c>
      <c r="C16" s="3" t="inlineStr"/>
      <c r="D16" s="3" t="inlineStr"/>
    </row>
    <row r="17">
      <c r="A17" s="3" t="inlineStr">
        <is>
          <t>Remaining backlog</t>
        </is>
      </c>
      <c r="B17" s="3" t="n">
        <v>100</v>
      </c>
      <c r="C17" s="3" t="inlineStr"/>
      <c r="D17" s="3" t="inlineStr"/>
    </row>
    <row r="18">
      <c r="A18" s="3" t="inlineStr">
        <is>
          <t>Forecast Sprints</t>
        </is>
      </c>
      <c r="B18" s="3">
        <f>ROUNDUP(B17/B16,0)</f>
        <v/>
      </c>
      <c r="C18" s="3" t="inlineStr"/>
      <c r="D18" s="3" t="inlineStr"/>
    </row>
  </sheetData>
  <mergeCells count="1">
    <mergeCell ref="A1:D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4" customWidth="1" min="5" max="5"/>
  </cols>
  <sheetData>
    <row r="1">
      <c r="A1" s="1" t="inlineStr">
        <is>
          <t>ServiceBridge Modernization — Adaptive Metrics</t>
        </is>
      </c>
    </row>
    <row r="2">
      <c r="A2" s="2" t="inlineStr">
        <is>
          <t>Period</t>
        </is>
      </c>
      <c r="B2" s="2" t="inlineStr">
        <is>
          <t>Total scope</t>
        </is>
      </c>
      <c r="C2" s="2" t="inlineStr">
        <is>
          <t>Completed</t>
        </is>
      </c>
      <c r="D2" s="2" t="inlineStr">
        <is>
          <t>Remaining</t>
        </is>
      </c>
      <c r="E2" s="2" t="inlineStr">
        <is>
          <t>Guideline only</t>
        </is>
      </c>
    </row>
    <row r="3">
      <c r="A3" s="3" t="n">
        <v>0</v>
      </c>
      <c r="B3" s="5" t="n">
        <v>100</v>
      </c>
      <c r="C3" s="5" t="n">
        <v>0</v>
      </c>
      <c r="D3" s="3">
        <f>B3-C3</f>
        <v/>
      </c>
      <c r="E3" s="3">
        <f>100-(100/7)*A3</f>
        <v/>
      </c>
    </row>
    <row r="4">
      <c r="A4" s="3" t="n">
        <v>1</v>
      </c>
      <c r="B4" s="5" t="n">
        <v>100</v>
      </c>
      <c r="C4" s="5" t="n">
        <v>16</v>
      </c>
      <c r="D4" s="3">
        <f>B4-C4</f>
        <v/>
      </c>
      <c r="E4" s="3">
        <f>100-(100/7)*A4</f>
        <v/>
      </c>
    </row>
    <row r="5">
      <c r="A5" s="3" t="n">
        <v>2</v>
      </c>
      <c r="B5" s="5" t="n">
        <v>115</v>
      </c>
      <c r="C5" s="5" t="n">
        <v>28</v>
      </c>
      <c r="D5" s="3">
        <f>B5-C5</f>
        <v/>
      </c>
      <c r="E5" s="3">
        <f>100-(100/7)*A5</f>
        <v/>
      </c>
    </row>
    <row r="6">
      <c r="A6" s="3" t="n">
        <v>3</v>
      </c>
      <c r="B6" s="5" t="n">
        <v>115</v>
      </c>
      <c r="C6" s="5" t="n">
        <v>45</v>
      </c>
      <c r="D6" s="3">
        <f>B6-C6</f>
        <v/>
      </c>
      <c r="E6" s="3">
        <f>100-(100/7)*A6</f>
        <v/>
      </c>
    </row>
    <row r="7">
      <c r="A7" s="3" t="n">
        <v>4</v>
      </c>
      <c r="B7" s="5" t="n">
        <v>130</v>
      </c>
      <c r="C7" s="5" t="n">
        <v>61</v>
      </c>
      <c r="D7" s="3">
        <f>B7-C7</f>
        <v/>
      </c>
      <c r="E7" s="3">
        <f>100-(100/7)*A7</f>
        <v/>
      </c>
    </row>
    <row r="8">
      <c r="A8" s="3" t="n">
        <v>5</v>
      </c>
      <c r="B8" s="5" t="n">
        <v>130</v>
      </c>
      <c r="C8" s="5" t="n">
        <v>82</v>
      </c>
      <c r="D8" s="3">
        <f>B8-C8</f>
        <v/>
      </c>
      <c r="E8" s="3">
        <f>100-(100/7)*A8</f>
        <v/>
      </c>
    </row>
    <row r="9">
      <c r="A9" s="3" t="n">
        <v>6</v>
      </c>
      <c r="B9" s="5" t="n">
        <v>130</v>
      </c>
      <c r="C9" s="5" t="n">
        <v>108</v>
      </c>
      <c r="D9" s="3">
        <f>B9-C9</f>
        <v/>
      </c>
      <c r="E9" s="3">
        <f>100-(100/7)*A9</f>
        <v/>
      </c>
    </row>
    <row r="10">
      <c r="A10" s="3" t="n">
        <v>7</v>
      </c>
      <c r="B10" s="5" t="n">
        <v>130</v>
      </c>
      <c r="C10" s="5" t="n">
        <v>130</v>
      </c>
      <c r="D10" s="3">
        <f>B10-C10</f>
        <v/>
      </c>
      <c r="E10" s="3">
        <f>100-(100/7)*A10</f>
        <v/>
      </c>
    </row>
  </sheetData>
  <mergeCells count="1">
    <mergeCell ref="A1:E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</cols>
  <sheetData>
    <row r="1">
      <c r="A1" s="1" t="inlineStr">
        <is>
          <t>ServiceBridge Modernization — Adaptive Metrics</t>
        </is>
      </c>
    </row>
    <row r="2">
      <c r="A2" s="2" t="inlineStr">
        <is>
          <t>Period</t>
        </is>
      </c>
      <c r="B2" s="2" t="inlineStr">
        <is>
          <t>Total scope</t>
        </is>
      </c>
      <c r="C2" s="2" t="inlineStr">
        <is>
          <t>Completed</t>
        </is>
      </c>
    </row>
    <row r="3">
      <c r="A3" s="3" t="n">
        <v>0</v>
      </c>
      <c r="B3" s="5" t="n">
        <v>100</v>
      </c>
      <c r="C3" s="5" t="n">
        <v>0</v>
      </c>
    </row>
    <row r="4">
      <c r="A4" s="3" t="n">
        <v>1</v>
      </c>
      <c r="B4" s="5" t="n">
        <v>100</v>
      </c>
      <c r="C4" s="5" t="n">
        <v>16</v>
      </c>
    </row>
    <row r="5">
      <c r="A5" s="3" t="n">
        <v>2</v>
      </c>
      <c r="B5" s="5" t="n">
        <v>115</v>
      </c>
      <c r="C5" s="5" t="n">
        <v>28</v>
      </c>
    </row>
    <row r="6">
      <c r="A6" s="3" t="n">
        <v>3</v>
      </c>
      <c r="B6" s="5" t="n">
        <v>115</v>
      </c>
      <c r="C6" s="5" t="n">
        <v>45</v>
      </c>
    </row>
    <row r="7">
      <c r="A7" s="3" t="n">
        <v>4</v>
      </c>
      <c r="B7" s="5" t="n">
        <v>130</v>
      </c>
      <c r="C7" s="5" t="n">
        <v>61</v>
      </c>
    </row>
    <row r="8">
      <c r="A8" s="3" t="n">
        <v>5</v>
      </c>
      <c r="B8" s="5" t="n">
        <v>130</v>
      </c>
      <c r="C8" s="5" t="n">
        <v>82</v>
      </c>
    </row>
    <row r="9">
      <c r="A9" s="3" t="n">
        <v>6</v>
      </c>
      <c r="B9" s="5" t="n">
        <v>130</v>
      </c>
      <c r="C9" s="5" t="n">
        <v>108</v>
      </c>
    </row>
    <row r="10">
      <c r="A10" s="3" t="n">
        <v>7</v>
      </c>
      <c r="B10" s="5" t="n">
        <v>130</v>
      </c>
      <c r="C10" s="5" t="n">
        <v>130</v>
      </c>
    </row>
  </sheetData>
  <mergeCells count="1">
    <mergeCell ref="A1:C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ServiceBridge Modernization — Adaptive Metrics</t>
        </is>
      </c>
    </row>
    <row r="2">
      <c r="A2" s="2" t="inlineStr">
        <is>
          <t>Period</t>
        </is>
      </c>
      <c r="B2" s="2" t="inlineStr">
        <is>
          <t>Ready</t>
        </is>
      </c>
      <c r="C2" s="2" t="inlineStr">
        <is>
          <t>In Progress</t>
        </is>
      </c>
      <c r="D2" s="2" t="inlineStr">
        <is>
          <t>Review</t>
        </is>
      </c>
      <c r="E2" s="2" t="inlineStr">
        <is>
          <t>Done</t>
        </is>
      </c>
      <c r="F2" s="2" t="inlineStr">
        <is>
          <t>Total</t>
        </is>
      </c>
    </row>
    <row r="3">
      <c r="A3" s="3" t="n">
        <v>1</v>
      </c>
      <c r="B3" s="5" t="n">
        <v>6</v>
      </c>
      <c r="C3" s="5" t="n">
        <v>2</v>
      </c>
      <c r="D3" s="5" t="n">
        <v>1</v>
      </c>
      <c r="E3" s="5" t="n">
        <v>1</v>
      </c>
      <c r="F3" s="3">
        <f>SUM(B3:E3)</f>
        <v/>
      </c>
    </row>
    <row r="4">
      <c r="A4" s="3" t="n">
        <v>2</v>
      </c>
      <c r="B4" s="5" t="n">
        <v>7</v>
      </c>
      <c r="C4" s="5" t="n">
        <v>3</v>
      </c>
      <c r="D4" s="5" t="n">
        <v>1</v>
      </c>
      <c r="E4" s="5" t="n">
        <v>2</v>
      </c>
      <c r="F4" s="3">
        <f>SUM(B4:E4)</f>
        <v/>
      </c>
    </row>
    <row r="5">
      <c r="A5" s="3" t="n">
        <v>3</v>
      </c>
      <c r="B5" s="5" t="n">
        <v>7</v>
      </c>
      <c r="C5" s="5" t="n">
        <v>3</v>
      </c>
      <c r="D5" s="5" t="n">
        <v>2</v>
      </c>
      <c r="E5" s="5" t="n">
        <v>3</v>
      </c>
      <c r="F5" s="3">
        <f>SUM(B5:E5)</f>
        <v/>
      </c>
    </row>
    <row r="6">
      <c r="A6" s="3" t="n">
        <v>4</v>
      </c>
      <c r="B6" s="5" t="n">
        <v>8</v>
      </c>
      <c r="C6" s="5" t="n">
        <v>4</v>
      </c>
      <c r="D6" s="5" t="n">
        <v>3</v>
      </c>
      <c r="E6" s="5" t="n">
        <v>4</v>
      </c>
      <c r="F6" s="3">
        <f>SUM(B6:E6)</f>
        <v/>
      </c>
    </row>
    <row r="7">
      <c r="A7" s="3" t="n">
        <v>5</v>
      </c>
      <c r="B7" s="5" t="n">
        <v>8</v>
      </c>
      <c r="C7" s="5" t="n">
        <v>4</v>
      </c>
      <c r="D7" s="5" t="n">
        <v>5</v>
      </c>
      <c r="E7" s="5" t="n">
        <v>5</v>
      </c>
      <c r="F7" s="3">
        <f>SUM(B7:E7)</f>
        <v/>
      </c>
    </row>
    <row r="8">
      <c r="A8" s="3" t="n">
        <v>6</v>
      </c>
      <c r="B8" s="5" t="n">
        <v>8</v>
      </c>
      <c r="C8" s="5" t="n">
        <v>4</v>
      </c>
      <c r="D8" s="5" t="n">
        <v>6</v>
      </c>
      <c r="E8" s="5" t="n">
        <v>7</v>
      </c>
      <c r="F8" s="3">
        <f>SUM(B8:E8)</f>
        <v/>
      </c>
    </row>
    <row r="9">
      <c r="A9" s="3" t="n">
        <v>7</v>
      </c>
      <c r="B9" s="5" t="n">
        <v>9</v>
      </c>
      <c r="C9" s="5" t="n">
        <v>4</v>
      </c>
      <c r="D9" s="5" t="n">
        <v>5</v>
      </c>
      <c r="E9" s="5" t="n">
        <v>9</v>
      </c>
      <c r="F9" s="3">
        <f>SUM(B9:E9)</f>
        <v/>
      </c>
    </row>
    <row r="10">
      <c r="A10" s="3" t="n">
        <v>8</v>
      </c>
      <c r="B10" s="5" t="n">
        <v>10</v>
      </c>
      <c r="C10" s="5" t="n">
        <v>3</v>
      </c>
      <c r="D10" s="5" t="n">
        <v>3</v>
      </c>
      <c r="E10" s="5" t="n">
        <v>12</v>
      </c>
      <c r="F10" s="3">
        <f>SUM(B10:E10)</f>
        <v/>
      </c>
    </row>
  </sheetData>
  <mergeCells count="1"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4" customWidth="1" min="4" max="4"/>
  </cols>
  <sheetData>
    <row r="1">
      <c r="A1" s="1" t="inlineStr">
        <is>
          <t>ServiceBridge Modernization — Adaptive Metrics</t>
        </is>
      </c>
    </row>
    <row r="2">
      <c r="A2" s="2" t="inlineStr">
        <is>
          <t>Completed items</t>
        </is>
      </c>
      <c r="B2" s="2" t="inlineStr">
        <is>
          <t>Time periods</t>
        </is>
      </c>
      <c r="C2" s="2" t="inlineStr">
        <is>
          <t>Period unit</t>
        </is>
      </c>
      <c r="D2" s="2" t="inlineStr">
        <is>
          <t>Throughput</t>
        </is>
      </c>
    </row>
    <row r="3">
      <c r="A3" s="5" t="n">
        <v>18</v>
      </c>
      <c r="B3" s="5" t="n">
        <v>3</v>
      </c>
      <c r="C3" s="5" t="inlineStr">
        <is>
          <t>week</t>
        </is>
      </c>
      <c r="D3" s="3">
        <f>A3/B3</f>
        <v/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44" customWidth="1" min="7" max="7"/>
  </cols>
  <sheetData>
    <row r="1">
      <c r="A1" s="1" t="inlineStr">
        <is>
          <t>ServiceBridge Modernization — Adaptive Metrics</t>
        </is>
      </c>
    </row>
    <row r="2">
      <c r="A2" s="2" t="inlineStr">
        <is>
          <t>Item</t>
        </is>
      </c>
      <c r="B2" s="2" t="inlineStr">
        <is>
          <t>Request day</t>
        </is>
      </c>
      <c r="C2" s="2" t="inlineStr">
        <is>
          <t>Work starts</t>
        </is>
      </c>
      <c r="D2" s="2" t="inlineStr">
        <is>
          <t>Delivery day</t>
        </is>
      </c>
      <c r="E2" s="2" t="inlineStr">
        <is>
          <t>Lead time</t>
        </is>
      </c>
      <c r="F2" s="2" t="inlineStr">
        <is>
          <t>Cycle time</t>
        </is>
      </c>
      <c r="G2" s="2" t="inlineStr">
        <is>
          <t>Convention</t>
        </is>
      </c>
    </row>
    <row r="3">
      <c r="A3" s="3" t="inlineStr">
        <is>
          <t>SB-118</t>
        </is>
      </c>
      <c r="B3" s="5" t="n">
        <v>0</v>
      </c>
      <c r="C3" s="5" t="n">
        <v>2</v>
      </c>
      <c r="D3" s="5" t="n">
        <v>5.5</v>
      </c>
      <c r="E3" s="3">
        <f>D3-B3</f>
        <v/>
      </c>
      <c r="F3" s="3">
        <f>D3-C3</f>
        <v/>
      </c>
      <c r="G3" s="3" t="inlineStr">
        <is>
          <t>Working-day fractions; compatible finish point</t>
        </is>
      </c>
    </row>
  </sheetData>
  <mergeCells count="1">
    <mergeCell ref="A1:G1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24" customWidth="1" min="4" max="4"/>
    <col width="24" customWidth="1" min="5" max="5"/>
  </cols>
  <sheetData>
    <row r="1">
      <c r="A1" s="1" t="inlineStr">
        <is>
          <t>ServiceBridge Modernization — Adaptive Metrics</t>
        </is>
      </c>
    </row>
    <row r="2">
      <c r="A2" s="2" t="inlineStr">
        <is>
          <t>Observation</t>
        </is>
      </c>
      <c r="B2" s="2" t="inlineStr">
        <is>
          <t>Cycle time</t>
        </is>
      </c>
      <c r="C2" s="2" t="inlineStr">
        <is>
          <t>Mean</t>
        </is>
      </c>
      <c r="D2" s="2" t="inlineStr">
        <is>
          <t>Supplied LCL</t>
        </is>
      </c>
      <c r="E2" s="2" t="inlineStr">
        <is>
          <t>Supplied UCL</t>
        </is>
      </c>
    </row>
    <row r="3">
      <c r="A3" s="3" t="n">
        <v>1</v>
      </c>
      <c r="B3" s="5" t="n">
        <v>4</v>
      </c>
      <c r="C3" s="3">
        <f>AVERAGE($B$3:$B$10)</f>
        <v/>
      </c>
      <c r="D3" s="5" t="n">
        <v>2</v>
      </c>
      <c r="E3" s="5" t="n">
        <v>9</v>
      </c>
    </row>
    <row r="4">
      <c r="A4" s="3" t="n">
        <v>2</v>
      </c>
      <c r="B4" s="5" t="n">
        <v>5</v>
      </c>
      <c r="C4" s="3">
        <f>AVERAGE($B$3:$B$10)</f>
        <v/>
      </c>
      <c r="D4" s="5" t="n">
        <v>2</v>
      </c>
      <c r="E4" s="5" t="n">
        <v>9</v>
      </c>
    </row>
    <row r="5">
      <c r="A5" s="3" t="n">
        <v>3</v>
      </c>
      <c r="B5" s="5" t="n">
        <v>4</v>
      </c>
      <c r="C5" s="3">
        <f>AVERAGE($B$3:$B$10)</f>
        <v/>
      </c>
      <c r="D5" s="5" t="n">
        <v>2</v>
      </c>
      <c r="E5" s="5" t="n">
        <v>9</v>
      </c>
    </row>
    <row r="6">
      <c r="A6" s="3" t="n">
        <v>4</v>
      </c>
      <c r="B6" s="5" t="n">
        <v>6</v>
      </c>
      <c r="C6" s="3">
        <f>AVERAGE($B$3:$B$10)</f>
        <v/>
      </c>
      <c r="D6" s="5" t="n">
        <v>2</v>
      </c>
      <c r="E6" s="5" t="n">
        <v>9</v>
      </c>
    </row>
    <row r="7">
      <c r="A7" s="3" t="n">
        <v>5</v>
      </c>
      <c r="B7" s="5" t="n">
        <v>5</v>
      </c>
      <c r="C7" s="3">
        <f>AVERAGE($B$3:$B$10)</f>
        <v/>
      </c>
      <c r="D7" s="5" t="n">
        <v>2</v>
      </c>
      <c r="E7" s="5" t="n">
        <v>9</v>
      </c>
    </row>
    <row r="8">
      <c r="A8" s="3" t="n">
        <v>6</v>
      </c>
      <c r="B8" s="5" t="n">
        <v>12</v>
      </c>
      <c r="C8" s="3">
        <f>AVERAGE($B$3:$B$10)</f>
        <v/>
      </c>
      <c r="D8" s="5" t="n">
        <v>2</v>
      </c>
      <c r="E8" s="5" t="n">
        <v>9</v>
      </c>
    </row>
    <row r="9">
      <c r="A9" s="3" t="n">
        <v>7</v>
      </c>
      <c r="B9" s="5" t="n">
        <v>5</v>
      </c>
      <c r="C9" s="3">
        <f>AVERAGE($B$3:$B$10)</f>
        <v/>
      </c>
      <c r="D9" s="5" t="n">
        <v>2</v>
      </c>
      <c r="E9" s="5" t="n">
        <v>9</v>
      </c>
    </row>
    <row r="10">
      <c r="A10" s="3" t="n">
        <v>8</v>
      </c>
      <c r="B10" s="5" t="n">
        <v>4</v>
      </c>
      <c r="C10" s="3">
        <f>AVERAGE($B$3:$B$10)</f>
        <v/>
      </c>
      <c r="D10" s="5" t="n">
        <v>2</v>
      </c>
      <c r="E10" s="5" t="n">
        <v>9</v>
      </c>
    </row>
  </sheetData>
  <mergeCells count="1">
    <mergeCell ref="A1:E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42" customWidth="1" min="3" max="3"/>
    <col width="24" customWidth="1" min="4" max="4"/>
    <col width="16" customWidth="1" min="5" max="5"/>
    <col width="18" customWidth="1" min="6" max="6"/>
  </cols>
  <sheetData>
    <row r="1">
      <c r="A1" s="1" t="inlineStr">
        <is>
          <t>ServiceBridge Modernization — Adaptive Metrics</t>
        </is>
      </c>
    </row>
    <row r="2">
      <c r="A2" s="2" t="inlineStr">
        <is>
          <t>Description</t>
        </is>
      </c>
      <c r="B2" s="2" t="inlineStr">
        <is>
          <t>Severity</t>
        </is>
      </c>
      <c r="C2" s="2" t="inlineStr">
        <is>
          <t>Current action</t>
        </is>
      </c>
      <c r="D2" s="2" t="inlineStr">
        <is>
          <t>Owner</t>
        </is>
      </c>
      <c r="E2" s="2" t="inlineStr">
        <is>
          <t>Age days</t>
        </is>
      </c>
      <c r="F2" s="2" t="inlineStr">
        <is>
          <t>Status</t>
        </is>
      </c>
    </row>
    <row r="3">
      <c r="A3" s="5" t="inlineStr">
        <is>
          <t>Test environment unavailable</t>
        </is>
      </c>
      <c r="B3" s="5" t="inlineStr">
        <is>
          <t>High</t>
        </is>
      </c>
      <c r="C3" s="5" t="inlineStr">
        <is>
          <t>Infrastructure escalation active</t>
        </is>
      </c>
      <c r="D3" s="5" t="inlineStr">
        <is>
          <t>Platform Lead</t>
        </is>
      </c>
      <c r="E3" s="5" t="n">
        <v>4</v>
      </c>
      <c r="F3" s="5" t="inlineStr">
        <is>
          <t>Escalated</t>
        </is>
      </c>
    </row>
    <row r="4">
      <c r="A4" s="5" t="inlineStr">
        <is>
          <t>Vendor test account delayed</t>
        </is>
      </c>
      <c r="B4" s="5" t="inlineStr">
        <is>
          <t>Medium</t>
        </is>
      </c>
      <c r="C4" s="5" t="inlineStr">
        <is>
          <t>Confirm delivery date</t>
        </is>
      </c>
      <c r="D4" s="5" t="inlineStr">
        <is>
          <t>Vendor Manager</t>
        </is>
      </c>
      <c r="E4" s="5" t="n">
        <v>2</v>
      </c>
      <c r="F4" s="5" t="inlineStr">
        <is>
          <t>Open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4" customWidth="1" min="3" max="3"/>
    <col width="64" customWidth="1" min="4" max="4"/>
    <col width="42" customWidth="1" min="5" max="5"/>
    <col width="72" customWidth="1" min="6" max="6"/>
    <col width="48" customWidth="1" min="7" max="7"/>
  </cols>
  <sheetData>
    <row r="1">
      <c r="A1" s="1" t="inlineStr">
        <is>
          <t>ServiceBridge Modernization — Adaptive Metrics</t>
        </is>
      </c>
    </row>
    <row r="2">
      <c r="A2" s="2" t="inlineStr">
        <is>
          <t>Metric ID</t>
        </is>
      </c>
      <c r="B2" s="2" t="inlineStr">
        <is>
          <t>Preferred name</t>
        </is>
      </c>
      <c r="C2" s="2" t="inlineStr">
        <is>
          <t>Type</t>
        </is>
      </c>
      <c r="D2" s="2" t="inlineStr">
        <is>
          <t>Calculation</t>
        </is>
      </c>
      <c r="E2" s="2" t="inlineStr">
        <is>
          <t>Units</t>
        </is>
      </c>
      <c r="F2" s="2" t="inlineStr">
        <is>
          <t>Misuse warnings</t>
        </is>
      </c>
      <c r="G2" s="2" t="inlineStr">
        <is>
          <t>Source IDs</t>
        </is>
      </c>
    </row>
    <row r="3">
      <c r="A3" s="3" t="inlineStr">
        <is>
          <t>ADM-VEL-001</t>
        </is>
      </c>
      <c r="B3" s="3" t="inlineStr">
        <is>
          <t>Velocity</t>
        </is>
      </c>
      <c r="C3" s="3" t="inlineStr">
        <is>
          <t>iteration forecast</t>
        </is>
      </c>
      <c r="D3" s="3" t="inlineStr">
        <is>
          <t>Velocity = sum of estimates for items completed to the agreed Definition of Done during the iteration</t>
        </is>
      </c>
      <c r="E3" s="3" t="inlineStr">
        <is>
          <t>Team-specific estimate units per iteration, commonly story points per Sprint; story points are not hours.</t>
        </is>
      </c>
      <c r="F3" s="3" t="inlineStr">
        <is>
          <t>Do not count partial work; Do not compare teams; Do not use for individual productivity; Do not impose a performance quota</t>
        </is>
      </c>
      <c r="G3" s="3" t="inlineStr">
        <is>
          <t>SRC-PMI-COURSE-LESSON-5-2026; SRC-PMI-COURSE-LESSON-7-2026</t>
        </is>
      </c>
    </row>
    <row r="4">
      <c r="A4" s="3" t="inlineStr">
        <is>
          <t>ADM-THR-001</t>
        </is>
      </c>
      <c r="B4" s="3" t="inlineStr">
        <is>
          <t>Throughput</t>
        </is>
      </c>
      <c r="C4" s="3" t="inlineStr">
        <is>
          <t>flow metric</t>
        </is>
      </c>
      <c r="D4" s="3" t="inlineStr">
        <is>
          <t>Throughput = completed work items / time period</t>
        </is>
      </c>
      <c r="E4" s="3" t="inlineStr">
        <is>
          <t>Items per stated time period.</t>
        </is>
      </c>
      <c r="F4" s="3" t="inlineStr">
        <is>
          <t>Do not substitute story points; State the time period; Account for item-size variation</t>
        </is>
      </c>
      <c r="G4" s="3" t="inlineStr">
        <is>
          <t>SRC-PMI-COURSE-LESSON-5-2026; SRC-PMI-COURSE-LESSON-7-2026; SRC-KANBAN-GUIDE</t>
        </is>
      </c>
    </row>
    <row r="5">
      <c r="A5" s="3" t="inlineStr">
        <is>
          <t>ADM-CYC-001</t>
        </is>
      </c>
      <c r="B5" s="3" t="inlineStr">
        <is>
          <t>Cycle Time</t>
        </is>
      </c>
      <c r="C5" s="3" t="inlineStr">
        <is>
          <t>time measure</t>
        </is>
      </c>
      <c r="D5" s="3" t="inlineStr">
        <is>
          <t>Cycle time = finish time - workflow start time</t>
        </is>
      </c>
      <c r="E5" s="3" t="inlineStr">
        <is>
          <t>Elapsed calendar or working time under a stated convention.</t>
        </is>
      </c>
      <c r="F5" s="3" t="inlineStr">
        <is>
          <t>Define both endpoints; Do not infer causation from an average alone</t>
        </is>
      </c>
      <c r="G5" s="3" t="inlineStr">
        <is>
          <t>SRC-PMI-COURSE-LESSON-7-2026; SRC-KANBAN-GUIDE</t>
        </is>
      </c>
    </row>
    <row r="6">
      <c r="A6" s="3" t="inlineStr">
        <is>
          <t>ADM-LEAD-001</t>
        </is>
      </c>
      <c r="B6" s="3" t="inlineStr">
        <is>
          <t>Lead Time</t>
        </is>
      </c>
      <c r="C6" s="3" t="inlineStr">
        <is>
          <t>time measure</t>
        </is>
      </c>
      <c r="D6" s="3" t="inlineStr">
        <is>
          <t>Lead time = delivery time - defined request or commitment time</t>
        </is>
      </c>
      <c r="E6" s="3" t="inlineStr">
        <is>
          <t>Elapsed calendar or working time under a stated convention.</t>
        </is>
      </c>
      <c r="F6" s="3" t="inlineStr">
        <is>
          <t>Name the start convention; Do not compare incompatible endpoints</t>
        </is>
      </c>
      <c r="G6" s="3" t="inlineStr">
        <is>
          <t>SRC-PMI-COURSE-LESSON-7-2026</t>
        </is>
      </c>
    </row>
    <row r="7">
      <c r="A7" s="3" t="inlineStr">
        <is>
          <t>ADM-WIP-001</t>
        </is>
      </c>
      <c r="B7" s="3" t="inlineStr">
        <is>
          <t>Work in Progress</t>
        </is>
      </c>
      <c r="C7" s="3" t="inlineStr">
        <is>
          <t>flow metric</t>
        </is>
      </c>
      <c r="D7" s="3" t="inlineStr">
        <is>
          <t>WIP = count of items started and not finished</t>
        </is>
      </c>
      <c r="E7" s="3" t="inlineStr">
        <is>
          <t>Work items.</t>
        </is>
      </c>
      <c r="F7" s="3" t="inlineStr">
        <is>
          <t>A limit without an explicit workflow policy is insufficient</t>
        </is>
      </c>
      <c r="G7" s="3" t="inlineStr">
        <is>
          <t>SRC-PMI-COURSE-LESSON-7-2026; SRC-KANBAN-GUIDE</t>
        </is>
      </c>
    </row>
    <row r="8">
      <c r="A8" s="3" t="inlineStr">
        <is>
          <t>ADM-AGE-001</t>
        </is>
      </c>
      <c r="B8" s="3" t="inlineStr">
        <is>
          <t>Work Item Age</t>
        </is>
      </c>
      <c r="C8" s="3" t="inlineStr">
        <is>
          <t>time measure</t>
        </is>
      </c>
      <c r="D8" s="3" t="inlineStr">
        <is>
          <t>Work item age = current time - workflow start time</t>
        </is>
      </c>
      <c r="E8" s="3" t="inlineStr">
        <is>
          <t>Elapsed time.</t>
        </is>
      </c>
      <c r="F8" s="3" t="inlineStr">
        <is>
          <t>Age is a signal for investigation; not blame</t>
        </is>
      </c>
      <c r="G8" s="3" t="inlineStr">
        <is>
          <t>SRC-KANBAN-GUIDE</t>
        </is>
      </c>
    </row>
    <row r="9">
      <c r="A9" s="3" t="inlineStr">
        <is>
          <t>ADM-BURN-001</t>
        </is>
      </c>
      <c r="B9" s="3" t="inlineStr">
        <is>
          <t>Burn Charts</t>
        </is>
      </c>
      <c r="C9" s="3" t="inlineStr">
        <is>
          <t>cumulative measure</t>
        </is>
      </c>
      <c r="D9" s="3" t="inlineStr">
        <is>
          <t>Remaining work = total scope - completed work</t>
        </is>
      </c>
      <c r="E9" s="3" t="inlineStr">
        <is>
          <t>Consistent work units over time.</t>
        </is>
      </c>
      <c r="F9" s="3" t="inlineStr">
        <is>
          <t>Do not hide scope change; Incomplete work remains in the total</t>
        </is>
      </c>
      <c r="G9" s="3" t="inlineStr">
        <is>
          <t>SRC-PMI-COURSE-LESSON-5-2026; SRC-PMI-COURSE-LESSON-7-2026</t>
        </is>
      </c>
    </row>
    <row r="10">
      <c r="A10" s="3" t="inlineStr">
        <is>
          <t>ADM-CFD-001</t>
        </is>
      </c>
      <c r="B10" s="3" t="inlineStr">
        <is>
          <t>Cumulative Flow Diagram</t>
        </is>
      </c>
      <c r="C10" s="3" t="inlineStr">
        <is>
          <t>cumulative measure</t>
        </is>
      </c>
      <c r="D10" s="3" t="inlineStr">
        <is>
          <t>Each boundary equals the cumulative count at or beyond a workflow state</t>
        </is>
      </c>
      <c r="E10" s="3" t="inlineStr">
        <is>
          <t>Work items over time.</t>
        </is>
      </c>
      <c r="F10" s="3" t="inlineStr">
        <is>
          <t>One diagram does not prove a cause</t>
        </is>
      </c>
      <c r="G10" s="3" t="inlineStr">
        <is>
          <t>SRC-PMI-COURSE-LESSON-5-2026; SRC-PMI-COURSE-LESSON-7-2026</t>
        </is>
      </c>
    </row>
    <row r="11">
      <c r="A11" s="3" t="inlineStr">
        <is>
          <t>ADM-BOARD-001</t>
        </is>
      </c>
      <c r="B11" s="3" t="inlineStr">
        <is>
          <t>Task Board or Kanban Board</t>
        </is>
      </c>
      <c r="C11" s="3" t="inlineStr">
        <is>
          <t>visual-management tool</t>
        </is>
      </c>
      <c r="D11" s="3" t="inlineStr">
        <is>
          <t>Not applicable</t>
        </is>
      </c>
      <c r="E11" s="3" t="inlineStr">
        <is>
          <t>Work items by state.</t>
        </is>
      </c>
      <c r="F11" s="3" t="inlineStr">
        <is>
          <t>Not every task board is a complete Kanban system</t>
        </is>
      </c>
      <c r="G11" s="3" t="inlineStr">
        <is>
          <t>SRC-PMI-COURSE-LESSON-5-2026; SRC-PMI-COURSE-LESSON-7-2026; SRC-KANBAN-GUIDE</t>
        </is>
      </c>
    </row>
    <row r="12">
      <c r="A12" s="3" t="inlineStr">
        <is>
          <t>ADM-CONTROL-001</t>
        </is>
      </c>
      <c r="B12" s="3" t="inlineStr">
        <is>
          <t>Control Chart</t>
        </is>
      </c>
      <c r="C12" s="3" t="inlineStr">
        <is>
          <t>process-stability measure</t>
        </is>
      </c>
      <c r="D12" s="3" t="inlineStr">
        <is>
          <t>Mean = sum of observations / number of observations; control limits are supplied illustrative inputs, not calculated here.</t>
        </is>
      </c>
      <c r="E12" s="3" t="inlineStr">
        <is>
          <t>Same unit as the plotted process measure.</t>
        </is>
      </c>
      <c r="F12" s="3" t="inlineStr">
        <is>
          <t>Do not publish or infer an unsupported limit formula</t>
        </is>
      </c>
      <c r="G12" s="3" t="inlineStr">
        <is>
          <t>SRC-PMI-COURSE-LESSON-7-2026</t>
        </is>
      </c>
    </row>
    <row r="13">
      <c r="A13" s="3" t="inlineStr">
        <is>
          <t>ADM-RAD-001</t>
        </is>
      </c>
      <c r="B13" s="3" t="inlineStr">
        <is>
          <t>Information Radiator</t>
        </is>
      </c>
      <c r="C13" s="3" t="inlineStr">
        <is>
          <t>visual-management tool</t>
        </is>
      </c>
      <c r="D13" s="3" t="inlineStr">
        <is>
          <t>Not applicable</t>
        </is>
      </c>
      <c r="E13" s="3" t="inlineStr">
        <is>
          <t>Not applicable.</t>
        </is>
      </c>
      <c r="F13" s="3" t="inlineStr">
        <is>
          <t>Visibility does not make stale information useful</t>
        </is>
      </c>
      <c r="G13" s="3" t="inlineStr">
        <is>
          <t>SRC-PMI-COURSE-LESSON-5-2026; SRC-PMI-COURSE-LESSON-7-2026</t>
        </is>
      </c>
    </row>
    <row r="14">
      <c r="A14" s="3" t="inlineStr">
        <is>
          <t>ADM-IMP-001</t>
        </is>
      </c>
      <c r="B14" s="3" t="inlineStr">
        <is>
          <t>Impediment List and Visualization</t>
        </is>
      </c>
      <c r="C14" s="3" t="inlineStr">
        <is>
          <t>impediment measure</t>
        </is>
      </c>
      <c r="D14" s="3" t="inlineStr">
        <is>
          <t>Age = current date - identified date</t>
        </is>
      </c>
      <c r="E14" s="3" t="inlineStr">
        <is>
          <t>Impediment count and elapsed age.</t>
        </is>
      </c>
      <c r="F14" s="3" t="inlineStr">
        <is>
          <t>Scrum Master accountability does not mean personal removal of every impediment; Do not penalize a team for reporting impediments</t>
        </is>
      </c>
      <c r="G14" s="3" t="inlineStr">
        <is>
          <t>SRC-PMI-COURSE-LESSON-5-2026; SRC-PMI-COURSE-LESSON-7-2026</t>
        </is>
      </c>
    </row>
  </sheetData>
  <mergeCells count="1">
    <mergeCell ref="A1:G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Project Management Knowledge Atlas</dc:creator>
  <dc:title>Adaptive Metrics and Visual Management</dc:title>
  <dcterms:created xsi:type="dcterms:W3CDTF">2026-08-01T00:00:00Z</dcterms:created>
  <dcterms:modified xsi:type="dcterms:W3CDTF">2026-08-01T15:12:44Z</dcterms:modified>
</cp:coreProperties>
</file>