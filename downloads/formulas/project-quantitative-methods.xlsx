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hree-Point Estimating" sheetId="2" state="visible" r:id="rId2"/>
    <sheet name="Schedule Network" sheetId="3" state="visible" r:id="rId3"/>
    <sheet name="EVM Calculator" sheetId="4" state="visible" r:id="rId4"/>
    <sheet name="Reserves and Budget" sheetId="5" state="visible" r:id="rId5"/>
    <sheet name="Formula Reference" sheetId="6" state="visible" r:id="rId6"/>
  </sheets>
  <definedNames>
    <definedName name="_xlnm._FilterDatabase" localSheetId="5" hidden="1">'Formula Reference'!$A$1:$F$25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C6B73"/>
    </font>
    <font>
      <b val="1"/>
      <color rgb="00FFFFFF"/>
    </font>
    <font>
      <b val="1"/>
    </font>
    <font>
      <color rgb="001F4E78"/>
    </font>
    <font>
      <b val="1"/>
      <color rgb="00223746"/>
    </font>
  </fonts>
  <fills count="6">
    <fill>
      <patternFill/>
    </fill>
    <fill>
      <patternFill patternType="gray125"/>
    </fill>
    <fill>
      <patternFill patternType="solid">
        <fgColor rgb="00223746"/>
      </patternFill>
    </fill>
    <fill>
      <patternFill patternType="solid">
        <fgColor rgb="00477B8F"/>
      </patternFill>
    </fill>
    <fill>
      <patternFill patternType="solid">
        <fgColor rgb="00F3E8C8"/>
      </patternFill>
    </fill>
    <fill>
      <patternFill patternType="solid">
        <fgColor rgb="00EA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5" fillId="4" borderId="0" applyAlignment="1" applyProtection="1" pivotButton="0" quotePrefix="0" xfId="0">
      <alignment vertical="top" wrapText="1"/>
      <protection locked="0" hidden="0"/>
    </xf>
    <xf numFmtId="2" fontId="6" fillId="5" borderId="0" applyAlignment="1" pivotButton="0" quotePrefix="0" xfId="0">
      <alignment vertical="top" wrapText="1"/>
    </xf>
    <xf numFmtId="1" fontId="5" fillId="4" borderId="0" applyAlignment="1" applyProtection="1" pivotButton="0" quotePrefix="0" xfId="0">
      <alignment vertical="top" wrapText="1"/>
      <protection locked="0" hidden="0"/>
    </xf>
    <xf numFmtId="1" fontId="6" fillId="5" borderId="0" applyAlignment="1" pivotButton="0" quotePrefix="0" xfId="0">
      <alignment vertical="top" wrapText="1"/>
    </xf>
    <xf numFmtId="164" fontId="5" fillId="4" borderId="0" applyAlignment="1" applyProtection="1" pivotButton="0" quotePrefix="0" xfId="0">
      <alignment vertical="top" wrapText="1"/>
      <protection locked="0" hidden="0"/>
    </xf>
    <xf numFmtId="164" fontId="6" fillId="5" borderId="0" applyAlignment="1" pivotButton="0" quotePrefix="0" xfId="0">
      <alignment vertical="top" wrapText="1"/>
    </xf>
    <xf numFmtId="165" fontId="6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  <col width="42" customWidth="1" min="6" max="6"/>
  </cols>
  <sheetData>
    <row r="1" ht="30" customHeight="1">
      <c r="A1" s="1" t="inlineStr">
        <is>
          <t>Project Quantitative Methods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Illustrative study workbook. Adapt it to organizational governance.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Workbook guidance</t>
        </is>
      </c>
      <c r="B4" s="2" t="n"/>
      <c r="C4" s="2" t="n"/>
      <c r="D4" s="2" t="n"/>
      <c r="E4" s="2" t="n"/>
      <c r="F4" s="2" t="n"/>
    </row>
    <row r="5" ht="34" customHeight="1">
      <c r="A5" s="5" t="inlineStr">
        <is>
          <t>How to use</t>
        </is>
      </c>
      <c r="B5" s="2" t="inlineStr">
        <is>
          <t>Yellow cells are editable inputs; blue cells contain formulas. All examples use the same units within a calculation.</t>
        </is>
      </c>
      <c r="C5" s="2" t="n"/>
      <c r="D5" s="2" t="n"/>
      <c r="E5" s="2" t="n"/>
      <c r="F5" s="2" t="n"/>
    </row>
    <row r="6" ht="34" customHeight="1">
      <c r="A6" s="5" t="inlineStr">
        <is>
          <t>Scope</t>
        </is>
      </c>
      <c r="B6" s="2" t="inlineStr">
        <is>
          <t>Estimating, schedule network analysis, reserves and baselines, and earned value management.</t>
        </is>
      </c>
      <c r="C6" s="2" t="n"/>
      <c r="D6" s="2" t="n"/>
      <c r="E6" s="2" t="n"/>
      <c r="F6" s="2" t="n"/>
    </row>
    <row r="7" ht="34" customHeight="1">
      <c r="A7" s="5" t="inlineStr">
        <is>
          <t>Verification</t>
        </is>
      </c>
      <c r="B7" s="2" t="inlineStr">
        <is>
          <t>Only formulas published by the Atlas registry are included. PERT variance and crash cost slope are withheld.</t>
        </is>
      </c>
      <c r="C7" s="2" t="n"/>
      <c r="D7" s="2" t="n"/>
      <c r="E7" s="2" t="n"/>
      <c r="F7" s="2" t="n"/>
    </row>
    <row r="8" ht="34" customHeight="1">
      <c r="A8" s="5" t="inlineStr">
        <is>
          <t>EVM boundary</t>
        </is>
      </c>
      <c r="B8" s="2" t="inlineStr">
        <is>
          <t>PV, EV, and AC must use the same measured scope and status date. SV is a cost-unit measure, not calendar days.</t>
        </is>
      </c>
      <c r="C8" s="2" t="n"/>
      <c r="D8" s="2" t="n"/>
      <c r="E8" s="2" t="n"/>
      <c r="F8" s="2" t="n"/>
    </row>
    <row r="9" ht="34" customHeight="1">
      <c r="A9" s="5" t="inlineStr">
        <is>
          <t>Governance</t>
        </is>
      </c>
      <c r="B9" s="2" t="inlineStr">
        <is>
          <t>Management reserve is outside BAC and does not authorize out-of-scope work.</t>
        </is>
      </c>
      <c r="C9" s="2" t="n"/>
      <c r="D9" s="2" t="n"/>
      <c r="E9" s="2" t="n"/>
      <c r="F9" s="2" t="n"/>
    </row>
    <row r="10" ht="34" customHeight="1">
      <c r="A10" s="5" t="inlineStr">
        <is>
          <t>Source</t>
        </is>
      </c>
      <c r="B10" s="2" t="inlineStr">
        <is>
          <t>Canonical definitions: definitions/formulas.yaml; public reference: Formula and Quantitative Methods.</t>
        </is>
      </c>
      <c r="C10" s="2" t="n"/>
      <c r="D10" s="2" t="n"/>
      <c r="E10" s="2" t="n"/>
      <c r="F1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F2"/>
    <mergeCell ref="B7:F7"/>
    <mergeCell ref="B6:F6"/>
    <mergeCell ref="B10:F10"/>
    <mergeCell ref="A1:F1"/>
    <mergeCell ref="B5:F5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  <col width="42" customWidth="1" min="6" max="6"/>
  </cols>
  <sheetData>
    <row r="1" ht="30" customHeight="1">
      <c r="A1" s="1" t="inlineStr">
        <is>
          <t>Three-Point Estimating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Edit O, M, P, quantity, and rate. Results are formula-driven.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Measure</t>
        </is>
      </c>
      <c r="B4" s="4" t="inlineStr">
        <is>
          <t>Input / result</t>
        </is>
      </c>
      <c r="C4" s="4" t="inlineStr">
        <is>
          <t>Units</t>
        </is>
      </c>
      <c r="D4" s="4" t="inlineStr">
        <is>
          <t>Expression</t>
        </is>
      </c>
      <c r="E4" s="4" t="inlineStr">
        <is>
          <t>Status</t>
        </is>
      </c>
      <c r="F4" s="4" t="inlineStr">
        <is>
          <t>Interpretation</t>
        </is>
      </c>
    </row>
    <row r="5">
      <c r="A5" s="2" t="inlineStr">
        <is>
          <t>Optimistic (O)</t>
        </is>
      </c>
      <c r="B5" s="6" t="n">
        <v>8</v>
      </c>
      <c r="C5" s="2" t="inlineStr">
        <is>
          <t>days</t>
        </is>
      </c>
      <c r="D5" s="2" t="n"/>
      <c r="E5" s="2" t="n"/>
      <c r="F5" s="2" t="n"/>
    </row>
    <row r="6">
      <c r="A6" s="2" t="inlineStr">
        <is>
          <t>Most likely (M)</t>
        </is>
      </c>
      <c r="B6" s="6" t="n">
        <v>12</v>
      </c>
      <c r="C6" s="2" t="inlineStr">
        <is>
          <t>days</t>
        </is>
      </c>
      <c r="D6" s="2" t="n"/>
      <c r="E6" s="2" t="n"/>
      <c r="F6" s="2" t="n"/>
    </row>
    <row r="7">
      <c r="A7" s="2" t="inlineStr">
        <is>
          <t>Pessimistic (P)</t>
        </is>
      </c>
      <c r="B7" s="6" t="n">
        <v>20</v>
      </c>
      <c r="C7" s="2" t="inlineStr">
        <is>
          <t>days</t>
        </is>
      </c>
      <c r="D7" s="2" t="n"/>
      <c r="E7" s="2" t="n"/>
      <c r="F7" s="2" t="n"/>
    </row>
    <row r="8">
      <c r="A8" s="2" t="inlineStr">
        <is>
          <t>Triangular TE</t>
        </is>
      </c>
      <c r="B8" s="7">
        <f>(B5+B6+B7)/3</f>
        <v/>
      </c>
      <c r="C8" s="2" t="inlineStr">
        <is>
          <t>days</t>
        </is>
      </c>
      <c r="D8" s="2" t="inlineStr">
        <is>
          <t>TE = (O + M + P) / 3</t>
        </is>
      </c>
      <c r="E8" s="2" t="n"/>
      <c r="F8" s="2" t="n"/>
    </row>
    <row r="9">
      <c r="A9" s="2" t="inlineStr">
        <is>
          <t>Beta / PERT TE</t>
        </is>
      </c>
      <c r="B9" s="7">
        <f>(B5+4*B6+B7)/6</f>
        <v/>
      </c>
      <c r="C9" s="2" t="inlineStr">
        <is>
          <t>days</t>
        </is>
      </c>
      <c r="D9" s="2" t="inlineStr">
        <is>
          <t>TE = (O + 4M + P) / 6</t>
        </is>
      </c>
      <c r="E9" s="2" t="n"/>
      <c r="F9" s="2" t="n"/>
    </row>
    <row r="10">
      <c r="A10" s="2" t="inlineStr">
        <is>
          <t>PERT standard deviation</t>
        </is>
      </c>
      <c r="B10" s="7">
        <f>(B7-B5)/6</f>
        <v/>
      </c>
      <c r="C10" s="2" t="inlineStr">
        <is>
          <t>days</t>
        </is>
      </c>
      <c r="D10" s="2" t="inlineStr">
        <is>
          <t>σ = (P - O) / 6</t>
        </is>
      </c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Parametric example</t>
        </is>
      </c>
      <c r="B12" s="2" t="n"/>
      <c r="C12" s="2" t="n"/>
      <c r="D12" s="2" t="n"/>
      <c r="E12" s="2" t="n"/>
      <c r="F12" s="2" t="n"/>
    </row>
    <row r="13">
      <c r="A13" s="2" t="inlineStr">
        <is>
          <t>Quantity</t>
        </is>
      </c>
      <c r="B13" s="6" t="n">
        <v>320</v>
      </c>
      <c r="C13" s="2" t="inlineStr">
        <is>
          <t>records</t>
        </is>
      </c>
      <c r="D13" s="2" t="n"/>
      <c r="E13" s="2" t="n"/>
      <c r="F13" s="2" t="n"/>
    </row>
    <row r="14">
      <c r="A14" s="2" t="inlineStr">
        <is>
          <t>Rate per unit</t>
        </is>
      </c>
      <c r="B14" s="6" t="n">
        <v>1.5</v>
      </c>
      <c r="C14" s="2" t="inlineStr">
        <is>
          <t>hours / record</t>
        </is>
      </c>
      <c r="D14" s="2" t="n"/>
      <c r="E14" s="2" t="n"/>
      <c r="F14" s="2" t="n"/>
    </row>
    <row r="15">
      <c r="A15" s="2" t="inlineStr">
        <is>
          <t>Estimate</t>
        </is>
      </c>
      <c r="B15" s="7">
        <f>B13*B14</f>
        <v/>
      </c>
      <c r="C15" s="2" t="inlineStr">
        <is>
          <t>hours</t>
        </is>
      </c>
      <c r="D15" s="2" t="inlineStr">
        <is>
          <t>Estimate = Quantity × Rate per unit</t>
        </is>
      </c>
      <c r="E15" s="2" t="n"/>
      <c r="F15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  <col width="42" customWidth="1" min="6" max="6"/>
  </cols>
  <sheetData>
    <row r="1" ht="30" customHeight="1">
      <c r="A1" s="1" t="inlineStr">
        <is>
          <t>Schedule Network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Day-zero convention; edit durations only. Network is A → B/C → D.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Activity</t>
        </is>
      </c>
      <c r="B4" s="4" t="inlineStr">
        <is>
          <t>Duration</t>
        </is>
      </c>
      <c r="C4" s="4" t="inlineStr">
        <is>
          <t>Predecessors</t>
        </is>
      </c>
      <c r="D4" s="4" t="inlineStr">
        <is>
          <t>ES</t>
        </is>
      </c>
      <c r="E4" s="4" t="inlineStr">
        <is>
          <t>EF</t>
        </is>
      </c>
      <c r="F4" s="4" t="inlineStr">
        <is>
          <t>Total Float</t>
        </is>
      </c>
    </row>
    <row r="5">
      <c r="A5" s="2" t="inlineStr">
        <is>
          <t>A · Confirm scope</t>
        </is>
      </c>
      <c r="B5" s="8" t="n">
        <v>3</v>
      </c>
      <c r="C5" s="2" t="inlineStr">
        <is>
          <t>—</t>
        </is>
      </c>
      <c r="D5" s="9" t="n">
        <v>0</v>
      </c>
      <c r="E5" s="9">
        <f>D5+B5</f>
        <v/>
      </c>
      <c r="F5" s="2" t="n">
        <v>0</v>
      </c>
    </row>
    <row r="6">
      <c r="A6" s="2" t="inlineStr">
        <is>
          <t>B · Configure service</t>
        </is>
      </c>
      <c r="B6" s="8" t="n">
        <v>5</v>
      </c>
      <c r="C6" s="2" t="inlineStr">
        <is>
          <t>A</t>
        </is>
      </c>
      <c r="D6" s="9">
        <f>E5</f>
        <v/>
      </c>
      <c r="E6" s="9">
        <f>D6+B6</f>
        <v/>
      </c>
      <c r="F6" s="2" t="n">
        <v>0</v>
      </c>
    </row>
    <row r="7">
      <c r="A7" s="2" t="inlineStr">
        <is>
          <t>C · Prepare training</t>
        </is>
      </c>
      <c r="B7" s="8" t="n">
        <v>3</v>
      </c>
      <c r="C7" s="2" t="inlineStr">
        <is>
          <t>A</t>
        </is>
      </c>
      <c r="D7" s="9">
        <f>E5</f>
        <v/>
      </c>
      <c r="E7" s="9">
        <f>D7+B7</f>
        <v/>
      </c>
      <c r="F7" s="2" t="n">
        <v>2</v>
      </c>
    </row>
    <row r="8">
      <c r="A8" s="2" t="inlineStr">
        <is>
          <t>D · Validate release</t>
        </is>
      </c>
      <c r="B8" s="8" t="n">
        <v>4</v>
      </c>
      <c r="C8" s="2" t="inlineStr">
        <is>
          <t>B, C</t>
        </is>
      </c>
      <c r="D8" s="9">
        <f>MAX(E6:E7)</f>
        <v/>
      </c>
      <c r="E8" s="9">
        <f>D8+B8</f>
        <v/>
      </c>
      <c r="F8" s="2" t="n">
        <v>0</v>
      </c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Critical path</t>
        </is>
      </c>
      <c r="B10" s="2" t="inlineStr">
        <is>
          <t>A → B → D</t>
        </is>
      </c>
      <c r="C10" s="2" t="n"/>
      <c r="D10" s="2" t="inlineStr">
        <is>
          <t>Project duration</t>
        </is>
      </c>
      <c r="E10" s="9">
        <f>E8</f>
        <v/>
      </c>
      <c r="F10" s="2" t="n"/>
    </row>
    <row r="11">
      <c r="A11" s="2" t="n"/>
      <c r="B11" s="2" t="n"/>
      <c r="C11" s="2" t="n"/>
      <c r="D11" s="2" t="n"/>
      <c r="E11" s="2" t="n"/>
      <c r="F11" s="2" t="n"/>
    </row>
    <row r="12" ht="30" customHeight="1">
      <c r="A12" s="2" t="inlineStr">
        <is>
          <t>Exam note</t>
        </is>
      </c>
      <c r="B12" s="2" t="inlineStr">
        <is>
          <t>Inclusive-day questions may apply +1 or -1. Follow the question and never mix conventions.</t>
        </is>
      </c>
      <c r="C12" s="2" t="n"/>
      <c r="D12" s="2" t="n"/>
      <c r="E12" s="2" t="n"/>
      <c r="F12" s="2" t="n"/>
    </row>
    <row r="13" ht="24" customHeight="1">
      <c r="A13" s="2" t="n"/>
      <c r="B13" s="2" t="n"/>
      <c r="C13" s="2" t="n"/>
      <c r="D13" s="2" t="n"/>
      <c r="E13" s="2" t="n"/>
      <c r="F13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2:F2"/>
    <mergeCell ref="A1:F1"/>
    <mergeCell ref="B12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  <col width="42" customWidth="1" min="6" max="6"/>
  </cols>
  <sheetData>
    <row r="1" ht="30" customHeight="1">
      <c r="A1" s="1" t="inlineStr">
        <is>
          <t>EVM Calculator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ServiceBridge Modernization status-date example.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Inputs</t>
        </is>
      </c>
      <c r="B4" s="2" t="n"/>
      <c r="C4" s="2" t="n"/>
      <c r="D4" s="2" t="n"/>
      <c r="E4" s="2" t="n"/>
      <c r="F4" s="2" t="n"/>
    </row>
    <row r="5">
      <c r="A5" s="2" t="inlineStr">
        <is>
          <t>BAC</t>
        </is>
      </c>
      <c r="B5" s="10" t="n">
        <v>2400000</v>
      </c>
      <c r="C5" s="2" t="n"/>
      <c r="D5" s="5" t="inlineStr">
        <is>
          <t>Interpretation</t>
        </is>
      </c>
      <c r="E5" s="2" t="n"/>
      <c r="F5" s="2" t="n"/>
    </row>
    <row r="6">
      <c r="A6" s="2" t="inlineStr">
        <is>
          <t>PV</t>
        </is>
      </c>
      <c r="B6" s="10" t="n">
        <v>1200000</v>
      </c>
      <c r="C6" s="2" t="n"/>
      <c r="D6" s="2" t="inlineStr">
        <is>
          <t>EV is below PV and AC exceeds EV. If current CPI continues, forecast total cost is above BAC. SV is in dollars, not days.</t>
        </is>
      </c>
      <c r="E6" s="2" t="n"/>
      <c r="F6" s="2" t="n"/>
    </row>
    <row r="7">
      <c r="A7" s="2" t="inlineStr">
        <is>
          <t>EV</t>
        </is>
      </c>
      <c r="B7" s="10" t="n">
        <v>1000000</v>
      </c>
      <c r="C7" s="2" t="n"/>
      <c r="D7" s="2" t="n"/>
      <c r="E7" s="2" t="n"/>
      <c r="F7" s="2" t="n"/>
    </row>
    <row r="8">
      <c r="A8" s="2" t="inlineStr">
        <is>
          <t>AC</t>
        </is>
      </c>
      <c r="B8" s="10" t="n">
        <v>1250000</v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Calculated measures</t>
        </is>
      </c>
      <c r="B10" s="2" t="n"/>
      <c r="C10" s="2" t="n"/>
      <c r="D10" s="2" t="n"/>
      <c r="E10" s="2" t="n"/>
      <c r="F10" s="2" t="n"/>
    </row>
    <row r="11">
      <c r="A11" s="2" t="inlineStr">
        <is>
          <t>SV</t>
        </is>
      </c>
      <c r="B11" s="11">
        <f>B7-B6</f>
        <v/>
      </c>
      <c r="C11" s="2" t="n"/>
      <c r="D11" s="2" t="n"/>
      <c r="E11" s="2" t="n"/>
      <c r="F11" s="2" t="n"/>
    </row>
    <row r="12">
      <c r="A12" s="2" t="inlineStr">
        <is>
          <t>SPI</t>
        </is>
      </c>
      <c r="B12" s="12">
        <f>IFERROR(B7/B6,"")</f>
        <v/>
      </c>
      <c r="C12" s="2" t="n"/>
      <c r="D12" s="2" t="n"/>
      <c r="E12" s="2" t="n"/>
      <c r="F12" s="2" t="n"/>
    </row>
    <row r="13">
      <c r="A13" s="2" t="inlineStr">
        <is>
          <t>CV</t>
        </is>
      </c>
      <c r="B13" s="11">
        <f>B7-B8</f>
        <v/>
      </c>
      <c r="C13" s="2" t="n"/>
      <c r="D13" s="2" t="n"/>
      <c r="E13" s="2" t="n"/>
      <c r="F13" s="2" t="n"/>
    </row>
    <row r="14">
      <c r="A14" s="2" t="inlineStr">
        <is>
          <t>CPI</t>
        </is>
      </c>
      <c r="B14" s="12">
        <f>IFERROR(B7/B8,"")</f>
        <v/>
      </c>
      <c r="C14" s="2" t="n"/>
      <c r="D14" s="2" t="n"/>
      <c r="E14" s="2" t="n"/>
      <c r="F14" s="2" t="n"/>
    </row>
    <row r="15">
      <c r="A15" s="2" t="inlineStr">
        <is>
          <t>EAC (CPI continues)</t>
        </is>
      </c>
      <c r="B15" s="11">
        <f>IFERROR(B5/B14,"")</f>
        <v/>
      </c>
      <c r="C15" s="2" t="n"/>
      <c r="D15" s="2" t="n"/>
      <c r="E15" s="2" t="n"/>
      <c r="F15" s="2" t="n"/>
    </row>
    <row r="16">
      <c r="A16" s="2" t="inlineStr">
        <is>
          <t>ETC</t>
        </is>
      </c>
      <c r="B16" s="11">
        <f>B15-B8</f>
        <v/>
      </c>
      <c r="C16" s="2" t="n"/>
      <c r="D16" s="2" t="n"/>
      <c r="E16" s="2" t="n"/>
      <c r="F16" s="2" t="n"/>
    </row>
    <row r="17">
      <c r="A17" s="2" t="inlineStr">
        <is>
          <t>VAC</t>
        </is>
      </c>
      <c r="B17" s="11">
        <f>B5-B15</f>
        <v/>
      </c>
      <c r="C17" s="2" t="n"/>
      <c r="D17" s="2" t="n"/>
      <c r="E17" s="2" t="n"/>
      <c r="F17" s="2" t="n"/>
    </row>
    <row r="18">
      <c r="A18" s="2" t="inlineStr">
        <is>
          <t>TCPI (BAC)</t>
        </is>
      </c>
      <c r="B18" s="12">
        <f>IFERROR((B5-B7)/(B5-B8),"")</f>
        <v/>
      </c>
      <c r="C18" s="2" t="n"/>
      <c r="D18" s="2" t="n"/>
      <c r="E18" s="2" t="n"/>
      <c r="F18" s="2" t="n"/>
    </row>
    <row r="19">
      <c r="A19" s="2" t="inlineStr">
        <is>
          <t>TCPI (EAC)</t>
        </is>
      </c>
      <c r="B19" s="12">
        <f>IFERROR((B5-B7)/(B15-B8),"")</f>
        <v/>
      </c>
      <c r="C19" s="2" t="n"/>
      <c r="D19" s="2" t="n"/>
      <c r="E19" s="2" t="n"/>
      <c r="F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2:F2"/>
    <mergeCell ref="A10:F10"/>
    <mergeCell ref="A1:F1"/>
    <mergeCell ref="A4:F4"/>
    <mergeCell ref="D6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  <col width="42" customWidth="1" min="6" max="6"/>
  </cols>
  <sheetData>
    <row r="1" ht="30" customHeight="1">
      <c r="A1" s="1" t="inlineStr">
        <is>
          <t>Reserves and Budget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Contingency is inside the cost baseline; management reserve is outside BAC.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inlineStr">
        <is>
          <t>Aggregated cost estimates</t>
        </is>
      </c>
      <c r="B4" s="10" t="n">
        <v>2200000</v>
      </c>
      <c r="C4" s="2" t="n"/>
      <c r="D4" s="2" t="inlineStr">
        <is>
          <t>BAC includes contingency reserve and excludes management reserve. Management reserve addresses unforeseen in-scope work, not unauthorized scope.</t>
        </is>
      </c>
      <c r="E4" s="2" t="n"/>
      <c r="F4" s="2" t="n"/>
    </row>
    <row r="5">
      <c r="A5" s="2" t="inlineStr">
        <is>
          <t>Contingency reserve</t>
        </is>
      </c>
      <c r="B5" s="10" t="n">
        <v>200000</v>
      </c>
      <c r="C5" s="2" t="n"/>
      <c r="D5" s="2" t="n"/>
      <c r="E5" s="2" t="n"/>
      <c r="F5" s="2" t="n"/>
    </row>
    <row r="6">
      <c r="A6" s="2" t="inlineStr">
        <is>
          <t>BAC / cost baseline</t>
        </is>
      </c>
      <c r="B6" s="11">
        <f>SUM(B4:B5)</f>
        <v/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Management reserve</t>
        </is>
      </c>
      <c r="B8" s="10" t="n">
        <v>150000</v>
      </c>
      <c r="C8" s="2" t="n"/>
      <c r="D8" s="2" t="n"/>
      <c r="E8" s="2" t="n"/>
      <c r="F8" s="2" t="n"/>
    </row>
    <row r="9">
      <c r="A9" s="2" t="inlineStr">
        <is>
          <t>Total project budget</t>
        </is>
      </c>
      <c r="B9" s="11">
        <f>B6+B8</f>
        <v/>
      </c>
      <c r="C9" s="2" t="n"/>
      <c r="D9" s="2" t="n"/>
      <c r="E9" s="2" t="n"/>
      <c r="F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2:F2"/>
    <mergeCell ref="D4:F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24" customWidth="1" min="4" max="4"/>
    <col width="27" customWidth="1" min="5" max="5"/>
    <col width="60" customWidth="1" min="6" max="6"/>
  </cols>
  <sheetData>
    <row r="1" ht="30" customHeight="1">
      <c r="A1" s="1" t="inlineStr">
        <is>
          <t>Verified Formula Reference</t>
        </is>
      </c>
      <c r="B1" s="2" t="n"/>
      <c r="C1" s="2" t="n"/>
      <c r="D1" s="2" t="n"/>
      <c r="E1" s="2" t="n"/>
      <c r="F1" s="2" t="n"/>
    </row>
    <row r="2" ht="42" customHeight="1">
      <c r="A2" s="3" t="inlineStr">
        <is>
          <t>Generated from definitions/formulas.yaml; withheld formulas are excluded.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ID</t>
        </is>
      </c>
      <c r="B4" s="4" t="inlineStr">
        <is>
          <t>Name</t>
        </is>
      </c>
      <c r="C4" s="4" t="inlineStr">
        <is>
          <t>Expression</t>
        </is>
      </c>
      <c r="D4" s="4" t="inlineStr">
        <is>
          <t>Units</t>
        </is>
      </c>
      <c r="E4" s="4" t="inlineStr">
        <is>
          <t>Verification</t>
        </is>
      </c>
      <c r="F4" s="4" t="inlineStr">
        <is>
          <t>Assumption</t>
        </is>
      </c>
    </row>
    <row r="5" ht="34" customHeight="1">
      <c r="A5" s="2" t="inlineStr">
        <is>
          <t>FRM-EST-001</t>
        </is>
      </c>
      <c r="B5" s="2" t="inlineStr">
        <is>
          <t>Parametric estimate</t>
        </is>
      </c>
      <c r="C5" s="2" t="inlineStr">
        <is>
          <t>Estimate = Quantity × Rate per unit</t>
        </is>
      </c>
      <c r="D5" s="2" t="inlineStr">
        <is>
          <t>Output uses the rate numerator unit; quantity and rate denominator must match.</t>
        </is>
      </c>
      <c r="E5" s="2" t="inlineStr">
        <is>
          <t>verified_current_course</t>
        </is>
      </c>
      <c r="F5" s="2" t="inlineStr">
        <is>
          <t>The rate is valid and scalable for the quantity and conditions.</t>
        </is>
      </c>
    </row>
    <row r="6" ht="34" customHeight="1">
      <c r="A6" s="2" t="inlineStr">
        <is>
          <t>FRM-EST-002</t>
        </is>
      </c>
      <c r="B6" s="2" t="inlineStr">
        <is>
          <t>Triangular three-point estimate</t>
        </is>
      </c>
      <c r="C6" s="2" t="inlineStr">
        <is>
          <t>TE = (O + M + P) / 3</t>
        </is>
      </c>
      <c r="D6" s="2" t="inlineStr">
        <is>
          <t>Same time, effort, or cost unit as O, M, and P.</t>
        </is>
      </c>
      <c r="E6" s="2" t="inlineStr">
        <is>
          <t>verified_current_course</t>
        </is>
      </c>
      <c r="F6" s="2" t="inlineStr">
        <is>
          <t>O, M, and P use the same scope and units.</t>
        </is>
      </c>
    </row>
    <row r="7" ht="34" customHeight="1">
      <c r="A7" s="2" t="inlineStr">
        <is>
          <t>FRM-EST-003</t>
        </is>
      </c>
      <c r="B7" s="2" t="inlineStr">
        <is>
          <t>Beta / PERT three-point estimate</t>
        </is>
      </c>
      <c r="C7" s="2" t="inlineStr">
        <is>
          <t>TE = (O + 4M + P) / 6</t>
        </is>
      </c>
      <c r="D7" s="2" t="inlineStr">
        <is>
          <t>Same time, effort, or cost unit as O, M, and P.</t>
        </is>
      </c>
      <c r="E7" s="2" t="inlineStr">
        <is>
          <t>verified_current_course</t>
        </is>
      </c>
      <c r="F7" s="2" t="inlineStr">
        <is>
          <t>O, M, and P use the same scope and units and a beta approximation is appropriate.</t>
        </is>
      </c>
    </row>
    <row r="8" ht="34" customHeight="1">
      <c r="A8" s="2" t="inlineStr">
        <is>
          <t>FRM-EST-004</t>
        </is>
      </c>
      <c r="B8" s="2" t="inlineStr">
        <is>
          <t>PERT standard deviation</t>
        </is>
      </c>
      <c r="C8" s="2" t="inlineStr">
        <is>
          <t>σ = (P - O) / 6</t>
        </is>
      </c>
      <c r="D8" s="2" t="inlineStr">
        <is>
          <t>Same unit as P and O.</t>
        </is>
      </c>
      <c r="E8" s="2" t="inlineStr">
        <is>
          <t>verified_official_pmi</t>
        </is>
      </c>
      <c r="F8" s="2" t="inlineStr">
        <is>
          <t>The PERT beta approximation and comparable endpoints are appropriate.</t>
        </is>
      </c>
    </row>
    <row r="9" ht="34" customHeight="1">
      <c r="A9" s="2" t="inlineStr">
        <is>
          <t>FRM-SCH-001</t>
        </is>
      </c>
      <c r="B9" s="2" t="inlineStr">
        <is>
          <t>Early finish</t>
        </is>
      </c>
      <c r="C9" s="2" t="inlineStr">
        <is>
          <t>EF = ES + Duration</t>
        </is>
      </c>
      <c r="D9" s="2" t="inlineStr">
        <is>
          <t>Consistent time units.</t>
        </is>
      </c>
      <c r="E9" s="2" t="inlineStr">
        <is>
          <t>verified_official_pmi</t>
        </is>
      </c>
      <c r="F9" s="2" t="inlineStr">
        <is>
          <t>Finish-to-start logic without lag unless the network states otherwise.</t>
        </is>
      </c>
    </row>
    <row r="10" ht="34" customHeight="1">
      <c r="A10" s="2" t="inlineStr">
        <is>
          <t>FRM-SCH-002</t>
        </is>
      </c>
      <c r="B10" s="2" t="inlineStr">
        <is>
          <t>Late start</t>
        </is>
      </c>
      <c r="C10" s="2" t="inlineStr">
        <is>
          <t>LS = LF - Duration</t>
        </is>
      </c>
      <c r="D10" s="2" t="inlineStr">
        <is>
          <t>Consistent time units.</t>
        </is>
      </c>
      <c r="E10" s="2" t="inlineStr">
        <is>
          <t>verified_official_pmi</t>
        </is>
      </c>
      <c r="F10" s="2" t="inlineStr">
        <is>
          <t>The required finish and successor logic are established.</t>
        </is>
      </c>
    </row>
    <row r="11" ht="34" customHeight="1">
      <c r="A11" s="2" t="inlineStr">
        <is>
          <t>FRM-SCH-003</t>
        </is>
      </c>
      <c r="B11" s="2" t="inlineStr">
        <is>
          <t>Total float from start dates</t>
        </is>
      </c>
      <c r="C11" s="2" t="inlineStr">
        <is>
          <t>Total Float = LS - ES</t>
        </is>
      </c>
      <c r="D11" s="2" t="inlineStr">
        <is>
          <t>Time units.</t>
        </is>
      </c>
      <c r="E11" s="2" t="inlineStr">
        <is>
          <t>verified_current_course</t>
        </is>
      </c>
      <c r="F11" s="2" t="inlineStr">
        <is>
          <t>Early and late dates use the same convention and calendars.</t>
        </is>
      </c>
    </row>
    <row r="12" ht="34" customHeight="1">
      <c r="A12" s="2" t="inlineStr">
        <is>
          <t>FRM-SCH-004</t>
        </is>
      </c>
      <c r="B12" s="2" t="inlineStr">
        <is>
          <t>Total float from finish dates</t>
        </is>
      </c>
      <c r="C12" s="2" t="inlineStr">
        <is>
          <t>Total Float = LF - EF</t>
        </is>
      </c>
      <c r="D12" s="2" t="inlineStr">
        <is>
          <t>Time units.</t>
        </is>
      </c>
      <c r="E12" s="2" t="inlineStr">
        <is>
          <t>verified_current_course</t>
        </is>
      </c>
      <c r="F12" s="2" t="inlineStr">
        <is>
          <t>Early and late dates use the same convention and calendars.</t>
        </is>
      </c>
    </row>
    <row r="13" ht="34" customHeight="1">
      <c r="A13" s="2" t="inlineStr">
        <is>
          <t>FRM-SCH-005</t>
        </is>
      </c>
      <c r="B13" s="2" t="inlineStr">
        <is>
          <t>Free float</t>
        </is>
      </c>
      <c r="C13" s="2" t="inlineStr">
        <is>
          <t>Free Float = earliest ES of immediate successors - EF</t>
        </is>
      </c>
      <c r="D13" s="2" t="inlineStr">
        <is>
          <t>Time units.</t>
        </is>
      </c>
      <c r="E13" s="2" t="inlineStr">
        <is>
          <t>verified_official_pmi</t>
        </is>
      </c>
      <c r="F13" s="2" t="inlineStr">
        <is>
          <t>Use the earliest ES when there are multiple immediate successors.</t>
        </is>
      </c>
    </row>
    <row r="14" ht="34" customHeight="1">
      <c r="A14" s="2" t="inlineStr">
        <is>
          <t>FRM-RES-001</t>
        </is>
      </c>
      <c r="B14" s="2" t="inlineStr">
        <is>
          <t>Cost baseline / BAC</t>
        </is>
      </c>
      <c r="C14" s="2" t="inlineStr">
        <is>
          <t>BAC = aggregated cost estimates + contingency reserves</t>
        </is>
      </c>
      <c r="D14" s="2" t="inlineStr">
        <is>
          <t>Currency.</t>
        </is>
      </c>
      <c r="E14" s="2" t="inlineStr">
        <is>
          <t>verified_current_course</t>
        </is>
      </c>
      <c r="F14" s="2" t="inlineStr">
        <is>
          <t>Scope and reserve treatment are authorized under project governance.</t>
        </is>
      </c>
    </row>
    <row r="15" ht="34" customHeight="1">
      <c r="A15" s="2" t="inlineStr">
        <is>
          <t>FRM-RES-002</t>
        </is>
      </c>
      <c r="B15" s="2" t="inlineStr">
        <is>
          <t>Total project budget</t>
        </is>
      </c>
      <c r="C15" s="2" t="inlineStr">
        <is>
          <t>Total Project Budget = BAC + management reserve</t>
        </is>
      </c>
      <c r="D15" s="2" t="inlineStr">
        <is>
          <t>Currency.</t>
        </is>
      </c>
      <c r="E15" s="2" t="inlineStr">
        <is>
          <t>verified_current_course</t>
        </is>
      </c>
      <c r="F15" s="2" t="inlineStr">
        <is>
          <t>Management reserve is governed and not used for unauthorized out-of-scope work.</t>
        </is>
      </c>
    </row>
    <row r="16" ht="34" customHeight="1">
      <c r="A16" s="2" t="inlineStr">
        <is>
          <t>FRM-EVM-001</t>
        </is>
      </c>
      <c r="B16" s="2" t="inlineStr">
        <is>
          <t>Schedule variance</t>
        </is>
      </c>
      <c r="C16" s="2" t="inlineStr">
        <is>
          <t>SV = EV - PV</t>
        </is>
      </c>
      <c r="D16" s="2" t="inlineStr">
        <is>
          <t>Currency or other budget units.</t>
        </is>
      </c>
      <c r="E16" s="2" t="inlineStr">
        <is>
          <t>verified_current_course</t>
        </is>
      </c>
      <c r="F16" s="2" t="inlineStr">
        <is>
          <t>EV and PV cover the same measured scope and status date.</t>
        </is>
      </c>
    </row>
    <row r="17" ht="34" customHeight="1">
      <c r="A17" s="2" t="inlineStr">
        <is>
          <t>FRM-EVM-002</t>
        </is>
      </c>
      <c r="B17" s="2" t="inlineStr">
        <is>
          <t>Schedule performance index</t>
        </is>
      </c>
      <c r="C17" s="2" t="inlineStr">
        <is>
          <t>SPI = EV / PV</t>
        </is>
      </c>
      <c r="D17" s="2" t="inlineStr">
        <is>
          <t>Dimensionless ratio.</t>
        </is>
      </c>
      <c r="E17" s="2" t="inlineStr">
        <is>
          <t>verified_current_course</t>
        </is>
      </c>
      <c r="F17" s="2" t="inlineStr">
        <is>
          <t>PV is nonzero and scope/status date are aligned.</t>
        </is>
      </c>
    </row>
    <row r="18" ht="34" customHeight="1">
      <c r="A18" s="2" t="inlineStr">
        <is>
          <t>FRM-EVM-003</t>
        </is>
      </c>
      <c r="B18" s="2" t="inlineStr">
        <is>
          <t>Cost variance</t>
        </is>
      </c>
      <c r="C18" s="2" t="inlineStr">
        <is>
          <t>CV = EV - AC</t>
        </is>
      </c>
      <c r="D18" s="2" t="inlineStr">
        <is>
          <t>Currency or other budget units.</t>
        </is>
      </c>
      <c r="E18" s="2" t="inlineStr">
        <is>
          <t>verified_current_course</t>
        </is>
      </c>
      <c r="F18" s="2" t="inlineStr">
        <is>
          <t>EV and AC cover the same measured scope and status date.</t>
        </is>
      </c>
    </row>
    <row r="19" ht="34" customHeight="1">
      <c r="A19" s="2" t="inlineStr">
        <is>
          <t>FRM-EVM-004</t>
        </is>
      </c>
      <c r="B19" s="2" t="inlineStr">
        <is>
          <t>Cost performance index</t>
        </is>
      </c>
      <c r="C19" s="2" t="inlineStr">
        <is>
          <t>CPI = EV / AC</t>
        </is>
      </c>
      <c r="D19" s="2" t="inlineStr">
        <is>
          <t>Dimensionless ratio.</t>
        </is>
      </c>
      <c r="E19" s="2" t="inlineStr">
        <is>
          <t>verified_current_course</t>
        </is>
      </c>
      <c r="F19" s="2" t="inlineStr">
        <is>
          <t>AC is nonzero and scope/status date are aligned.</t>
        </is>
      </c>
    </row>
    <row r="20" ht="34" customHeight="1">
      <c r="A20" s="2" t="inlineStr">
        <is>
          <t>FRM-EVM-005</t>
        </is>
      </c>
      <c r="B20" s="2" t="inlineStr">
        <is>
          <t>Estimate at completion — current CPI continues</t>
        </is>
      </c>
      <c r="C20" s="2" t="inlineStr">
        <is>
          <t>EAC = BAC / CPI</t>
        </is>
      </c>
      <c r="D20" s="2" t="inlineStr">
        <is>
          <t>Currency.</t>
        </is>
      </c>
      <c r="E20" s="2" t="inlineStr">
        <is>
          <t>verified_current_course</t>
        </is>
      </c>
      <c r="F20" s="2" t="inlineStr">
        <is>
          <t>Current cumulative cost efficiency is expected to continue for the remaining work; CPI is nonzero.</t>
        </is>
      </c>
    </row>
    <row r="21" ht="34" customHeight="1">
      <c r="A21" s="2" t="inlineStr">
        <is>
          <t>FRM-EVM-006</t>
        </is>
      </c>
      <c r="B21" s="2" t="inlineStr">
        <is>
          <t>Estimate to complete</t>
        </is>
      </c>
      <c r="C21" s="2" t="inlineStr">
        <is>
          <t>ETC = EAC - AC</t>
        </is>
      </c>
      <c r="D21" s="2" t="inlineStr">
        <is>
          <t>Currency.</t>
        </is>
      </c>
      <c r="E21" s="2" t="inlineStr">
        <is>
          <t>verified_current_course</t>
        </is>
      </c>
      <c r="F21" s="2" t="inlineStr">
        <is>
          <t>EAC and AC use the same measured scope and status date.</t>
        </is>
      </c>
    </row>
    <row r="22" ht="34" customHeight="1">
      <c r="A22" s="2" t="inlineStr">
        <is>
          <t>FRM-EVM-010</t>
        </is>
      </c>
      <c r="B22" s="2" t="inlineStr">
        <is>
          <t>Variance at completion</t>
        </is>
      </c>
      <c r="C22" s="2" t="inlineStr">
        <is>
          <t>VAC = BAC - EAC</t>
        </is>
      </c>
      <c r="D22" s="2" t="inlineStr">
        <is>
          <t>Currency.</t>
        </is>
      </c>
      <c r="E22" s="2" t="inlineStr">
        <is>
          <t>supplemental_official_pmi</t>
        </is>
      </c>
      <c r="F22" s="2" t="inlineStr">
        <is>
          <t>BAC and EAC cover the same measured scope.</t>
        </is>
      </c>
    </row>
    <row r="23" ht="34" customHeight="1">
      <c r="A23" s="2" t="inlineStr">
        <is>
          <t>FRM-EVM-011</t>
        </is>
      </c>
      <c r="B23" s="2" t="inlineStr">
        <is>
          <t>To-complete performance index against BAC</t>
        </is>
      </c>
      <c r="C23" s="2" t="inlineStr">
        <is>
          <t>TCPI(BAC) = (BAC - EV) / (BAC - AC)</t>
        </is>
      </c>
      <c r="D23" s="2" t="inlineStr">
        <is>
          <t>Dimensionless ratio.</t>
        </is>
      </c>
      <c r="E23" s="2" t="inlineStr">
        <is>
          <t>supplemental_official_pmi</t>
        </is>
      </c>
      <c r="F23" s="2" t="inlineStr">
        <is>
          <t>BAC minus AC is positive and BAC remains the selected target.</t>
        </is>
      </c>
    </row>
    <row r="24" ht="34" customHeight="1">
      <c r="A24" s="2" t="inlineStr">
        <is>
          <t>FRM-EVM-012</t>
        </is>
      </c>
      <c r="B24" s="2" t="inlineStr">
        <is>
          <t>To-complete performance index against approved EAC</t>
        </is>
      </c>
      <c r="C24" s="2" t="inlineStr">
        <is>
          <t>TCPI(EAC) = (BAC - EV) / (EAC - AC)</t>
        </is>
      </c>
      <c r="D24" s="2" t="inlineStr">
        <is>
          <t>Dimensionless ratio.</t>
        </is>
      </c>
      <c r="E24" s="2" t="inlineStr">
        <is>
          <t>supplemental_official_pmi</t>
        </is>
      </c>
      <c r="F24" s="2" t="inlineStr">
        <is>
          <t>EAC minus AC is positive and EAC is the selected approved target.</t>
        </is>
      </c>
    </row>
    <row r="25" ht="34" customHeight="1">
      <c r="A25" s="2" t="inlineStr">
        <is>
          <t>FRM-COM-001</t>
        </is>
      </c>
      <c r="B25" s="2" t="inlineStr">
        <is>
          <t>Potential communication channels</t>
        </is>
      </c>
      <c r="C25" s="2" t="inlineStr">
        <is>
          <t>C = n(n - 1) / 2</t>
        </is>
      </c>
      <c r="D25" s="2" t="inlineStr">
        <is>
          <t>Potential pairwise paths.</t>
        </is>
      </c>
      <c r="E25" s="2" t="inlineStr">
        <is>
          <t>supplemental_official_pmi</t>
        </is>
      </c>
      <c r="F25" s="2" t="inlineStr">
        <is>
          <t>n is an integer of at least 1; direction is not counted separately; the measure represents potential interpersonal paths rather than messages, technologies, methods, or required direct communications.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F2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2026-08-03T10:44:18Z</dcterms:created>
  <dcterms:modified xsi:type="dcterms:W3CDTF">2026-08-03T10:44:18Z</dcterms:modified>
</cp:coreProperties>
</file>